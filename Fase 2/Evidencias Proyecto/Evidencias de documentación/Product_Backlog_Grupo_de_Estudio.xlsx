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Épicas" sheetId="2" state="visible" r:id="rId4"/>
    <sheet name="Sprints" sheetId="3" state="visible" r:id="rId5"/>
    <sheet name="Leyenda" sheetId="4" state="visible" r:id="rId6"/>
  </sheets>
  <definedNames>
    <definedName function="false" hidden="false" localSheetId="0" name="_xlnm.Print_Titles" vbProcedure="false">'Product Backlog'!$4:$4</definedName>
    <definedName function="false" hidden="true" localSheetId="0" name="_xlnm._FilterDatabase" vbProcedure="false">'Product Backlog'!$A$4:$J$40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<sst xmlns="http://schemas.openxmlformats.org/spreadsheetml/2006/main" count="381" uniqueCount="237">
  <si>
    <t xml:space="preserve">Product Backlog priorizado — Grupo de Estudio Duoc UC</t>
  </si>
  <si>
    <t xml:space="preserve">Product Owner: Alan Martínez · Estado al 4 de octubre de 2026 (cierre del Sprint 6). Orden = prioridad dentro del backlog (1 = más importante).</t>
  </si>
  <si>
    <t xml:space="preserve">Orden</t>
  </si>
  <si>
    <t xml:space="preserve">ID</t>
  </si>
  <si>
    <t xml:space="preserve">Épica</t>
  </si>
  <si>
    <t xml:space="preserve">Historia de usuario</t>
  </si>
  <si>
    <t xml:space="preserve">Criterios de aceptación</t>
  </si>
  <si>
    <t xml:space="preserve">Prioridad (MoSCoW)</t>
  </si>
  <si>
    <t xml:space="preserve">Puntos</t>
  </si>
  <si>
    <t xml:space="preserve">Sprint</t>
  </si>
  <si>
    <t xml:space="preserve">Estado</t>
  </si>
  <si>
    <t xml:space="preserve">Evidencia</t>
  </si>
  <si>
    <t xml:space="preserve">HU-01</t>
  </si>
  <si>
    <t xml:space="preserve">E1 · Autenticación y cuenta</t>
  </si>
  <si>
    <t xml:space="preserve">Como estudiante, quiero registrarme con mi correo @duocuc.cl, para usar la app dentro de mi comunidad.</t>
  </si>
  <si>
    <t xml:space="preserve">• Solo acepta correos @duocuc.cl.
• La contraseña tiene al menos 8 caracteres.
• Si el correo ya existe, avisa sin crear otra cuenta.
• Pide nombre, carrera, jornada y nivel de inglés.</t>
  </si>
  <si>
    <t xml:space="preserve">Must</t>
  </si>
  <si>
    <t xml:space="preserve">Sprint 5</t>
  </si>
  <si>
    <t xml:space="preserve">Hecho</t>
  </si>
  <si>
    <t xml:space="preserve">POST /auth/registro · PA-05 a PA-10</t>
  </si>
  <si>
    <t xml:space="preserve">HU-02</t>
  </si>
  <si>
    <t xml:space="preserve">Como usuario, quiero iniciar sesión, para entrar a mi panel según mi rol.</t>
  </si>
  <si>
    <t xml:space="preserve">• Con credenciales correctas abre el panel de estudiante o de administrador.
• Ante un error responde siempre "Correo o contraseña incorrectos".
• Bloquea tras 5 intentos fallidos en un minuto.</t>
  </si>
  <si>
    <t xml:space="preserve">POST /auth/login · PA-11 a PA-13</t>
  </si>
  <si>
    <t xml:space="preserve">HU-04</t>
  </si>
  <si>
    <t xml:space="preserve">Como usuario, quiero cerrar sesión, para proteger mi cuenta en un equipo compartido.</t>
  </si>
  <si>
    <t xml:space="preserve">• Borra los tokens guardados.
• Vuelve a la pantalla de inicio de sesión.</t>
  </si>
  <si>
    <t xml:space="preserve">Ajustes · prueba manual</t>
  </si>
  <si>
    <t xml:space="preserve">HU-07</t>
  </si>
  <si>
    <t xml:space="preserve">E2 · Evaluación diagnóstica</t>
  </si>
  <si>
    <t xml:space="preserve">Como estudiante, quiero rendir una evaluación diagnóstica de lectura y escritura, para conocer mi nivel de inglés.</t>
  </si>
  <si>
    <t xml:space="preserve">• Debo responder todas las preguntas.
• Las respuestas correctas no llegan a la app.
• Solo se rinde una vez.</t>
  </si>
  <si>
    <t xml:space="preserve">Sprint 6</t>
  </si>
  <si>
    <t xml:space="preserve">GET /diagnostico, POST /diagnostico/respuestas · PA-44 y PA-47</t>
  </si>
  <si>
    <t xml:space="preserve">HU-08</t>
  </si>
  <si>
    <t xml:space="preserve">Como estudiante, quiero ver mi resultado con fortalezas, aspectos a reforzar y recomendaciones, para saber qué estudiar.</t>
  </si>
  <si>
    <t xml:space="preserve">• Muestra puntaje, nivel A1–C2 y resultado por competencia.
• El nivel asignado se guarda en mi perfil.
• Recomienda un grupo de mi nivel.</t>
  </si>
  <si>
    <t xml:space="preserve">GET /diagnostico/resultado · PA-45 y PA-46</t>
  </si>
  <si>
    <t xml:space="preserve">HU-09</t>
  </si>
  <si>
    <t xml:space="preserve">E3 · Grupos de estudio</t>
  </si>
  <si>
    <t xml:space="preserve">Como estudiante, quiero crear un grupo de estudio de mi nivel, para estudiar con otros compañeros.</t>
  </si>
  <si>
    <t xml:space="preserve">• El servidor genera un código DUOC-#### único.
• Quedo como integrante del grupo.</t>
  </si>
  <si>
    <t xml:space="preserve">POST /grupos · PA-25 y PA-26</t>
  </si>
  <si>
    <t xml:space="preserve">HU-10</t>
  </si>
  <si>
    <t xml:space="preserve">Como estudiante, quiero unirme a un grupo con un código de invitación, para entrar al grupo de mis compañeros.</t>
  </si>
  <si>
    <t xml:space="preserve">• Avisa si el código no existe, si ya soy integrante o si el grupo está lleno.
• Nunca se superan 6 integrantes, aunque varios se unan a la vez.</t>
  </si>
  <si>
    <t xml:space="preserve">POST /grupos/unirse · PA-30 a PA-34</t>
  </si>
  <si>
    <t xml:space="preserve">HU-12</t>
  </si>
  <si>
    <t xml:space="preserve">Como integrante, quiero ver el detalle de mi grupo y sus integrantes, para saber con quién estudio.</t>
  </si>
  <si>
    <t xml:space="preserve">• Muestra integrantes, código, tests y encuentros del grupo.</t>
  </si>
  <si>
    <t xml:space="preserve">GET /grupos/{id} · PA-29</t>
  </si>
  <si>
    <t xml:space="preserve">HU-14</t>
  </si>
  <si>
    <t xml:space="preserve">E4 · Tests semanales</t>
  </si>
  <si>
    <t xml:space="preserve">Como integrante, quiero ver los tests semanales de mi nivel con su estado, para saber qué tengo pendiente.</t>
  </si>
  <si>
    <t xml:space="preserve">• Muestra solo los tests publicados del nivel de mis grupos.
• Indica pendiente o completado, puntaje y fecha límite.</t>
  </si>
  <si>
    <t xml:space="preserve">GET /tests · PA-49 y PA-50</t>
  </si>
  <si>
    <t xml:space="preserve">HU-15</t>
  </si>
  <si>
    <t xml:space="preserve">Como integrante, quiero resolver un test semanal y ver mi puntaje, para medir mi avance.</t>
  </si>
  <si>
    <t xml:space="preserve">• El servidor califica; las respuestas correctas no llegan a la app.
• No puedo responder tests de otro nivel ni repetir uno ya rendido.</t>
  </si>
  <si>
    <t xml:space="preserve">GET /tests/{id}, POST /tests/{id}/respuestas · PA-51 a PA-53</t>
  </si>
  <si>
    <t xml:space="preserve">HU-16</t>
  </si>
  <si>
    <t xml:space="preserve">E5 · Coordinación de encuentros</t>
  </si>
  <si>
    <t xml:space="preserve">Como integrante, quiero proponer un encuentro presencial u online, para estudiar junto a mi grupo.</t>
  </si>
  <si>
    <t xml:space="preserve">• Pide tema, fecha futura, duración (15 a 240 min) y lugar o enlace https.
 • Quien propone queda confirmado.
• Solo integrantes del grupo.</t>
  </si>
  <si>
    <t xml:space="preserve">POST /grupos/{id}/encuentros · PA-54 a PA-57</t>
  </si>
  <si>
    <t xml:space="preserve">HU-17</t>
  </si>
  <si>
    <t xml:space="preserve">Como integrante, quiero confirmar o rechazar mi asistencia, para que el grupo sepa quién irá.</t>
  </si>
  <si>
    <t xml:space="preserve">• Puedo cambiar mi respuesta.
• El grupo ve la respuesta de cada integrante.</t>
  </si>
  <si>
    <t xml:space="preserve">PUT /encuentros/{id}/asistencia · PA-58 y PA-59</t>
  </si>
  <si>
    <t xml:space="preserve">HU-23</t>
  </si>
  <si>
    <t xml:space="preserve">E6 · Administración</t>
  </si>
  <si>
    <t xml:space="preserve">Como administrador, quiero crear un test semanal de selección múltiple, para actualizar el contenido sin tocar el código.</t>
  </si>
  <si>
    <t xml:space="preserve">• Defino título, habilidad, nivel y preguntas con 2 a 6 alternativas y la correcta.
• Se guarda como borrador.</t>
  </si>
  <si>
    <t xml:space="preserve">POST /admin/evaluaciones · PA-69 y PA-70</t>
  </si>
  <si>
    <t xml:space="preserve">HU-24</t>
  </si>
  <si>
    <t xml:space="preserve">Como administrador, quiero publicar, retirar y eliminar tests, para controlar qué ven los estudiantes.</t>
  </si>
  <si>
    <t xml:space="preserve">• Al publicar, lo ven los grupos del nivel durante una semana.
• Veo cuántos estudiantes respondieron.
• La evaluación diagnóstica no se puede eliminar.</t>
  </si>
  <si>
    <t xml:space="preserve">GET/PATCH/DELETE /admin/evaluaciones · PA-68, PA-71 y PA-72</t>
  </si>
  <si>
    <t xml:space="preserve">HT-01</t>
  </si>
  <si>
    <t xml:space="preserve">E9 · Calidad y operación (historias técnicas)</t>
  </si>
  <si>
    <t xml:space="preserve">Como equipo, queremos un contrato de datos compartido entre la app y la API, para evitar inconsistencias.</t>
  </si>
  <si>
    <t xml:space="preserve">• Esquemas Zod en packages/types usados por cliente y servidor.</t>
  </si>
  <si>
    <t xml:space="preserve">packages/types · PA-24</t>
  </si>
  <si>
    <t xml:space="preserve">HT-02</t>
  </si>
  <si>
    <t xml:space="preserve">Como equipo, queremos la API y la base de datos en Docker Compose, para que cualquiera ejecute el sistema igual.</t>
  </si>
  <si>
    <t xml:space="preserve">• docker compose up levanta base, API y app web.
• /health confirma API y base.</t>
  </si>
  <si>
    <t xml:space="preserve">docker-compose.yml · PA-23</t>
  </si>
  <si>
    <t xml:space="preserve">HT-03</t>
  </si>
  <si>
    <t xml:space="preserve">Como equipo, queremos pruebas automatizadas del API, para integrar cambios sin romper lo existente.</t>
  </si>
  <si>
    <t xml:space="preserve">• Pruebas unitarias, de integración, seguridad y concurrencia.
• Todas pasan antes de integrar.</t>
  </si>
  <si>
    <t xml:space="preserve">Sprint 5-6</t>
  </si>
  <si>
    <t xml:space="preserve">87 pruebas (plan de pruebas)</t>
  </si>
  <si>
    <t xml:space="preserve">HT-06</t>
  </si>
  <si>
    <t xml:space="preserve">Como equipo, queremos validar el MVP con estudiantes de inglés, para medir los indicadores del Product Vision.</t>
  </si>
  <si>
    <t xml:space="preserve">• Piloto con estudiantes, encuesta de satisfacción e informe de pruebas de usuario.</t>
  </si>
  <si>
    <t xml:space="preserve">Sprint 7</t>
  </si>
  <si>
    <t xml:space="preserve">Pendiente</t>
  </si>
  <si>
    <t xml:space="preserve">Fase 3 (S16–S17)</t>
  </si>
  <si>
    <t xml:space="preserve">HU-03</t>
  </si>
  <si>
    <t xml:space="preserve">Como usuario, quiero que mi sesión se mantenga mientras uso la app, para no iniciar sesión a cada rato.</t>
  </si>
  <si>
    <t xml:space="preserve">• El token se renueva solo al vencer.
• En el teléfono la sesión se guarda cifrada.
• Si la renovación falla, vuelve al login.</t>
  </si>
  <si>
    <t xml:space="preserve">Should</t>
  </si>
  <si>
    <t xml:space="preserve">POST /auth/renovar · PA-16 y PA-17</t>
  </si>
  <si>
    <t xml:space="preserve">HU-05</t>
  </si>
  <si>
    <t xml:space="preserve">Como estudiante, quiero eliminar mi cuenta, para que no queden mis datos en el sistema.</t>
  </si>
  <si>
    <t xml:space="preserve">• Pide confirmación.
• Borra la cuenta, sus membresías, resultados y asistencias.
• El token deja de servir.</t>
  </si>
  <si>
    <t xml:space="preserve">DELETE /usuarios/me · PA-19</t>
  </si>
  <si>
    <t xml:space="preserve">HU-11</t>
  </si>
  <si>
    <t xml:space="preserve">Como estudiante, quiero ver los grupos abiertos y unirme desde el listado, para encontrar un grupo sin tener un código.</t>
  </si>
  <si>
    <t xml:space="preserve">• El listado muestra nivel e integrantes de cada grupo.
• Aplica la misma regla de cupo que el código.</t>
  </si>
  <si>
    <t xml:space="preserve">GET /grupos, POST /grupos/{id}/integrantes · PA-27</t>
  </si>
  <si>
    <t xml:space="preserve">HU-13</t>
  </si>
  <si>
    <t xml:space="preserve">Como integrante, quiero abandonar un grupo, para dejar un grupo que ya no me sirve.</t>
  </si>
  <si>
    <t xml:space="preserve">• Salgo del grupo y libero el cupo.
• Si era el último integrante, el grupo se elimina.</t>
  </si>
  <si>
    <t xml:space="preserve">DELETE /grupos/{id}/integrantes/me · PA-35 a PA-37</t>
  </si>
  <si>
    <t xml:space="preserve">HU-18</t>
  </si>
  <si>
    <t xml:space="preserve">Como estudiante, quiero ver mis próximos encuentros en el inicio, para no olvidarlos.</t>
  </si>
  <si>
    <t xml:space="preserve">• Muestra los encuentros futuros de todos mis grupos, ordenados por fecha.</t>
  </si>
  <si>
    <t xml:space="preserve">GET /encuentros/proximos · PA-60</t>
  </si>
  <si>
    <t xml:space="preserve">HU-20</t>
  </si>
  <si>
    <t xml:space="preserve">Como administrador, quiero buscar y filtrar usuarios por nombre, correo y rol, para encontrar una cuenta rápido.</t>
  </si>
  <si>
    <t xml:space="preserve">• Búsqueda en el servidor por nombre o correo.
• Filtro por alumno o administrador.
• Un estudiante recibe 403.</t>
  </si>
  <si>
    <t xml:space="preserve">GET /usuarios · PA-18</t>
  </si>
  <si>
    <t xml:space="preserve">HU-21</t>
  </si>
  <si>
    <t xml:space="preserve">Como administrador, quiero cambiar el rol de una cuenta, para dar acceso a otra persona de la coordinación.</t>
  </si>
  <si>
    <t xml:space="preserve">• El cambio rige desde la siguiente solicitud.
• No puedo cambiar mi propio rol.</t>
  </si>
  <si>
    <t xml:space="preserve">PATCH /usuarios/{id}/rol · PA-63 a PA-66</t>
  </si>
  <si>
    <t xml:space="preserve">HU-22</t>
  </si>
  <si>
    <t xml:space="preserve">Como administrador, quiero eliminar una cuenta, para retirar usuarios que no corresponden.</t>
  </si>
  <si>
    <t xml:space="preserve">• Pide confirmación.
• Borra sus datos y los grupos que quedan vacíos.
• No puedo eliminarme desde el panel.</t>
  </si>
  <si>
    <t xml:space="preserve">DELETE /usuarios/{id} · PA-67</t>
  </si>
  <si>
    <t xml:space="preserve">HT-04</t>
  </si>
  <si>
    <t xml:space="preserve">Como equipo, queremos medir el rendimiento con 100 usuarios simultáneos, para verificar RNF-B01 y RNF-B03.</t>
  </si>
  <si>
    <t xml:space="preserve">• p95 menor a 500 ms y menos de 1 % de errores en 10 minutos.</t>
  </si>
  <si>
    <t xml:space="preserve">k6: p95 67 ms, 0,00 % errores</t>
  </si>
  <si>
    <t xml:space="preserve">HT-05</t>
  </si>
  <si>
    <t xml:space="preserve">Como equipo, queremos la app web en un contenedor, para revisar el sistema completo sin instalar Expo.</t>
  </si>
  <si>
    <t xml:space="preserve">• La app queda en localhost:8081 servida por nginx.</t>
  </si>
  <si>
    <t xml:space="preserve">apps/mobile/Dockerfile</t>
  </si>
  <si>
    <t xml:space="preserve">HU-06</t>
  </si>
  <si>
    <t xml:space="preserve">Como usuario, quiero recuperar mi contraseña por correo, para volver a entrar si la olvido.</t>
  </si>
  <si>
    <t xml:space="preserve">• Envía un enlace de un solo uso al correo institucional.
• El enlace vence en 30 minutos.</t>
  </si>
  <si>
    <t xml:space="preserve">Could</t>
  </si>
  <si>
    <t xml:space="preserve">Futuro</t>
  </si>
  <si>
    <t xml:space="preserve">Trabajo futuro</t>
  </si>
  <si>
    <t xml:space="preserve">Interfaz lista con datos simulados</t>
  </si>
  <si>
    <t xml:space="preserve">HU-19</t>
  </si>
  <si>
    <t xml:space="preserve">Como quien propuso un encuentro, quiero cancelarlo, para avisar que ya no se realizará.</t>
  </si>
  <si>
    <t xml:space="preserve">• Solo quien lo propuso puede cancelarlo.</t>
  </si>
  <si>
    <t xml:space="preserve">DELETE /encuentros/{id} · PA-61</t>
  </si>
  <si>
    <t xml:space="preserve">HU-25</t>
  </si>
  <si>
    <t xml:space="preserve">E7 · Comunidad</t>
  </si>
  <si>
    <t xml:space="preserve">Como estudiante, quiero buscar compañeros y agregarlos como contactos, para mantenerme en contacto.</t>
  </si>
  <si>
    <t xml:space="preserve">• Búsqueda por nombre.
• Lista de contactos con su estado.</t>
  </si>
  <si>
    <t xml:space="preserve">HU-26</t>
  </si>
  <si>
    <t xml:space="preserve">Como estudiante, quiero chatear con mis contactos en tiempo real, para resolver dudas entre encuentros.</t>
  </si>
  <si>
    <t xml:space="preserve">• Mensajes por WebSocket autenticado con el mismo token.
• Recupera los mensajes pendientes al reconectar.</t>
  </si>
  <si>
    <t xml:space="preserve">HU-27</t>
  </si>
  <si>
    <t xml:space="preserve">E8 · Preferencias</t>
  </si>
  <si>
    <t xml:space="preserve">Como usuario, quiero alternar entre modo claro y oscuro, para usar la app cómodamente.</t>
  </si>
  <si>
    <t xml:space="preserve">• El cambio aplica a todas las pantallas.</t>
  </si>
  <si>
    <t xml:space="preserve">Sprint 3-4</t>
  </si>
  <si>
    <t xml:space="preserve">HU-28</t>
  </si>
  <si>
    <t xml:space="preserve">Como usuario, quiero cambiar el idioma de la interfaz entre español e inglés, para practicar también con la app.</t>
  </si>
  <si>
    <t xml:space="preserve">• Todas las pantallas cambian de idioma, incluidos los errores del servidor.
• Se elige en Ajustes o en el inicio de sesión y se recuerda al volver a abrir la app.</t>
  </si>
  <si>
    <t xml:space="preserve">lib/i18n.ts · selector ES/EN</t>
  </si>
  <si>
    <t xml:space="preserve">HT-07</t>
  </si>
  <si>
    <t xml:space="preserve">Como coordinación de inglés, queremos evaluar respuestas abiertas con las rúbricas de writing y speaking, para una evaluación más completa.</t>
  </si>
  <si>
    <t xml:space="preserve">• Preguntas abiertas corregidas según la rúbrica de la coordinación.</t>
  </si>
  <si>
    <t xml:space="preserve">Won't</t>
  </si>
  <si>
    <t xml:space="preserve">Rúbricas como referencia</t>
  </si>
  <si>
    <t xml:space="preserve">HT-08</t>
  </si>
  <si>
    <t xml:space="preserve">Como institución, queremos el sistema en un servidor con HTTPS, para usarlo fuera del computador del equipo.</t>
  </si>
  <si>
    <t xml:space="preserve">• Despliegue en la nube con HTTPS/WSS (RNF-B07).</t>
  </si>
  <si>
    <t xml:space="preserve">Fuera de alcance: proyecto sin presupuesto</t>
  </si>
  <si>
    <t xml:space="preserve">Avance por épica</t>
  </si>
  <si>
    <t xml:space="preserve">Objetivo</t>
  </si>
  <si>
    <t xml:space="preserve">Historias</t>
  </si>
  <si>
    <t xml:space="preserve">Puntos hechos</t>
  </si>
  <si>
    <t xml:space="preserve">Avance</t>
  </si>
  <si>
    <t xml:space="preserve">E1</t>
  </si>
  <si>
    <t xml:space="preserve">Autenticación y cuenta</t>
  </si>
  <si>
    <t xml:space="preserve">Acceso seguro solo para la comunidad Duoc UC.</t>
  </si>
  <si>
    <t xml:space="preserve">E2</t>
  </si>
  <si>
    <t xml:space="preserve">Evaluación diagnóstica</t>
  </si>
  <si>
    <t xml:space="preserve">Que el estudiante conozca su nivel real de inglés y qué reforzar.</t>
  </si>
  <si>
    <t xml:space="preserve">E3</t>
  </si>
  <si>
    <t xml:space="preserve">Grupos de estudio</t>
  </si>
  <si>
    <t xml:space="preserve">Reunir a estudiantes del mismo nivel en grupos pequeños.</t>
  </si>
  <si>
    <t xml:space="preserve">E4</t>
  </si>
  <si>
    <t xml:space="preserve">Tests semanales</t>
  </si>
  <si>
    <t xml:space="preserve">Dar al grupo una rutina de práctica medible.</t>
  </si>
  <si>
    <t xml:space="preserve">E5</t>
  </si>
  <si>
    <t xml:space="preserve">Coordinación de encuentros</t>
  </si>
  <si>
    <t xml:space="preserve">Organizar instancias de estudio compartido.</t>
  </si>
  <si>
    <t xml:space="preserve">E6</t>
  </si>
  <si>
    <t xml:space="preserve">Administración</t>
  </si>
  <si>
    <t xml:space="preserve">Que la coordinación académica gestione usuarios y contenido.</t>
  </si>
  <si>
    <t xml:space="preserve">E7</t>
  </si>
  <si>
    <t xml:space="preserve">Comunidad</t>
  </si>
  <si>
    <t xml:space="preserve">Conectar a los estudiantes entre sí fuera de los grupos.</t>
  </si>
  <si>
    <t xml:space="preserve">E8</t>
  </si>
  <si>
    <t xml:space="preserve">Preferencias</t>
  </si>
  <si>
    <t xml:space="preserve">Adaptar la app a cada usuario.</t>
  </si>
  <si>
    <t xml:space="preserve">E9</t>
  </si>
  <si>
    <t xml:space="preserve">Calidad y operación (historias técnicas)</t>
  </si>
  <si>
    <t xml:space="preserve">Que el sistema sea seguro, probado y fácil de ejecutar.</t>
  </si>
  <si>
    <t xml:space="preserve">Total</t>
  </si>
  <si>
    <t xml:space="preserve">Historias y puntos por sprint</t>
  </si>
  <si>
    <t xml:space="preserve">Semanas</t>
  </si>
  <si>
    <t xml:space="preserve">Objetivo del sprint</t>
  </si>
  <si>
    <t xml:space="preserve">S7–S10</t>
  </si>
  <si>
    <t xml:space="preserve">Interfaz completa con datos simulados: 16 pantallas, sistema de diseño y preferencias.</t>
  </si>
  <si>
    <t xml:space="preserve">S11–S12</t>
  </si>
  <si>
    <t xml:space="preserve">Autenticación real, contrato compartido, base de datos en Docker y grupos de estudio conectados a la API.</t>
  </si>
  <si>
    <t xml:space="preserve">S11–S14</t>
  </si>
  <si>
    <t xml:space="preserve">Pruebas automatizadas del API, construidas en ambos sprints.</t>
  </si>
  <si>
    <t xml:space="preserve">S13–S14</t>
  </si>
  <si>
    <t xml:space="preserve">Diagnóstico, tests semanales, encuentros, panel de administración, prueba de carga y app web en Docker.</t>
  </si>
  <si>
    <t xml:space="preserve">S16–S17</t>
  </si>
  <si>
    <t xml:space="preserve">Fase 3: piloto con estudiantes y ajustes.</t>
  </si>
  <si>
    <t xml:space="preserve">—</t>
  </si>
  <si>
    <t xml:space="preserve">Fuera del MVP: chat, recuperación de contraseña, respuestas abiertas y despliegue en la nube.</t>
  </si>
  <si>
    <t xml:space="preserve">El total debe coincidir con el de la hoja Épicas; si no, revisa que el Sprint de cada historia esté escrito igual que en esta tabla.</t>
  </si>
  <si>
    <t xml:space="preserve">Cómo leer este backlog</t>
  </si>
  <si>
    <t xml:space="preserve">Historia (HU)</t>
  </si>
  <si>
    <t xml:space="preserve">Funcionalidad vista por el usuario, con el formato "Como &lt;rol&gt;, quiero &lt;acción&gt;, para &lt;beneficio&gt;".</t>
  </si>
  <si>
    <t xml:space="preserve">Historia técnica (HT)</t>
  </si>
  <si>
    <t xml:space="preserve">Trabajo habilitante que no ve el usuario directamente (pruebas, contenedores, despliegue).</t>
  </si>
  <si>
    <t xml:space="preserve">Must: imprescindible para el MVP · Should: importante · Could: deseable · Won't: fuera de esta versión.</t>
  </si>
  <si>
    <t xml:space="preserve">Prioridad dentro del backlog, de 1 (más importante) en adelante.</t>
  </si>
  <si>
    <t xml:space="preserve">Esfuerzo relativo en escala de Fibonacci (1, 2, 3, 5, 8), estimado por el equipo.</t>
  </si>
  <si>
    <t xml:space="preserve">Sprint en que la historia quedó terminada de punta a punta (interfaz, API y pruebas).</t>
  </si>
  <si>
    <t xml:space="preserve">Hecho · Parcial · Pendiente · Trabajo futuro. Se edita con la lista desplegable; las hojas Épicas y Sprints se recalculan solas.</t>
  </si>
  <si>
    <t xml:space="preserve">Endpoint, archivo o caso del plan de pruebas (PA-xx) que demuestra la historia.</t>
  </si>
  <si>
    <t xml:space="preserve">Para editar</t>
  </si>
  <si>
    <t xml:space="preserve">Cambia solo las columnas Prioridad, Puntos, Sprint y Estado de la hoja Product Backlog; el resto de las hojas usa fórmulas.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</si>
</sst>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A4A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2"/>
      <color rgb="FF0B2A4A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E3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D9F2E3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6.25" hidden="false" customHeight="false" outlineLevel="0" collapsed="false">
      <c r="A5" s="4" t="n">
        <v>1</v>
      </c>
      <c r="B5" s="4" t="s">
        <v>12</v>
      </c>
      <c r="C5" s="5" t="s">
        <v>13</v>
      </c>
      <c r="D5" s="5" t="s">
        <v>14</v>
      </c>
      <c r="E5" s="5" t="s">
        <v>15</v>
      </c>
      <c r="F5" s="4" t="s">
        <v>16</v>
      </c>
      <c r="G5" s="4" t="n">
        <v>3</v>
      </c>
      <c r="H5" s="4" t="s">
        <v>17</v>
      </c>
      <c r="I5" s="4" t="s">
        <v>18</v>
      </c>
      <c r="J5" s="5" t="s">
        <v>19</v>
      </c>
    </row>
    <row r="6" customFormat="false" ht="46.25" hidden="false" customHeight="false" outlineLevel="0" collapsed="false">
      <c r="A6" s="4" t="n">
        <v>2</v>
      </c>
      <c r="B6" s="4" t="s">
        <v>20</v>
      </c>
      <c r="C6" s="5" t="s">
        <v>13</v>
      </c>
      <c r="D6" s="5" t="s">
        <v>21</v>
      </c>
      <c r="E6" s="5" t="s">
        <v>22</v>
      </c>
      <c r="F6" s="4" t="s">
        <v>16</v>
      </c>
      <c r="G6" s="4" t="n">
        <v>3</v>
      </c>
      <c r="H6" s="4" t="s">
        <v>17</v>
      </c>
      <c r="I6" s="4" t="s">
        <v>18</v>
      </c>
      <c r="J6" s="5" t="s">
        <v>23</v>
      </c>
    </row>
    <row r="7" customFormat="false" ht="23.85" hidden="false" customHeight="false" outlineLevel="0" collapsed="false">
      <c r="A7" s="4" t="n">
        <v>3</v>
      </c>
      <c r="B7" s="4" t="s">
        <v>24</v>
      </c>
      <c r="C7" s="5" t="s">
        <v>13</v>
      </c>
      <c r="D7" s="5" t="s">
        <v>25</v>
      </c>
      <c r="E7" s="5" t="s">
        <v>26</v>
      </c>
      <c r="F7" s="4" t="s">
        <v>16</v>
      </c>
      <c r="G7" s="4" t="n">
        <v>1</v>
      </c>
      <c r="H7" s="4" t="s">
        <v>17</v>
      </c>
      <c r="I7" s="4" t="s">
        <v>18</v>
      </c>
      <c r="J7" s="5" t="s">
        <v>27</v>
      </c>
    </row>
    <row r="8" customFormat="false" ht="35.05" hidden="false" customHeight="false" outlineLevel="0" collapsed="false">
      <c r="A8" s="4" t="n">
        <v>4</v>
      </c>
      <c r="B8" s="4" t="s">
        <v>28</v>
      </c>
      <c r="C8" s="5" t="s">
        <v>29</v>
      </c>
      <c r="D8" s="5" t="s">
        <v>30</v>
      </c>
      <c r="E8" s="5" t="s">
        <v>31</v>
      </c>
      <c r="F8" s="4" t="s">
        <v>16</v>
      </c>
      <c r="G8" s="4" t="n">
        <v>5</v>
      </c>
      <c r="H8" s="4" t="s">
        <v>32</v>
      </c>
      <c r="I8" s="4" t="s">
        <v>18</v>
      </c>
      <c r="J8" s="5" t="s">
        <v>33</v>
      </c>
    </row>
    <row r="9" customFormat="false" ht="35.05" hidden="false" customHeight="false" outlineLevel="0" collapsed="false">
      <c r="A9" s="4" t="n">
        <v>5</v>
      </c>
      <c r="B9" s="4" t="s">
        <v>34</v>
      </c>
      <c r="C9" s="5" t="s">
        <v>29</v>
      </c>
      <c r="D9" s="5" t="s">
        <v>35</v>
      </c>
      <c r="E9" s="5" t="s">
        <v>36</v>
      </c>
      <c r="F9" s="4" t="s">
        <v>16</v>
      </c>
      <c r="G9" s="4" t="n">
        <v>3</v>
      </c>
      <c r="H9" s="4" t="s">
        <v>32</v>
      </c>
      <c r="I9" s="4" t="s">
        <v>18</v>
      </c>
      <c r="J9" s="5" t="s">
        <v>37</v>
      </c>
    </row>
    <row r="10" customFormat="false" ht="23.85" hidden="false" customHeight="false" outlineLevel="0" collapsed="false">
      <c r="A10" s="4" t="n">
        <v>6</v>
      </c>
      <c r="B10" s="4" t="s">
        <v>38</v>
      </c>
      <c r="C10" s="5" t="s">
        <v>39</v>
      </c>
      <c r="D10" s="5" t="s">
        <v>40</v>
      </c>
      <c r="E10" s="5" t="s">
        <v>41</v>
      </c>
      <c r="F10" s="4" t="s">
        <v>16</v>
      </c>
      <c r="G10" s="4" t="n">
        <v>3</v>
      </c>
      <c r="H10" s="4" t="s">
        <v>17</v>
      </c>
      <c r="I10" s="4" t="s">
        <v>18</v>
      </c>
      <c r="J10" s="5" t="s">
        <v>42</v>
      </c>
    </row>
    <row r="11" customFormat="false" ht="35.05" hidden="false" customHeight="false" outlineLevel="0" collapsed="false">
      <c r="A11" s="4" t="n">
        <v>7</v>
      </c>
      <c r="B11" s="4" t="s">
        <v>43</v>
      </c>
      <c r="C11" s="5" t="s">
        <v>39</v>
      </c>
      <c r="D11" s="5" t="s">
        <v>44</v>
      </c>
      <c r="E11" s="5" t="s">
        <v>45</v>
      </c>
      <c r="F11" s="4" t="s">
        <v>16</v>
      </c>
      <c r="G11" s="4" t="n">
        <v>3</v>
      </c>
      <c r="H11" s="4" t="s">
        <v>17</v>
      </c>
      <c r="I11" s="4" t="s">
        <v>18</v>
      </c>
      <c r="J11" s="5" t="s">
        <v>46</v>
      </c>
    </row>
    <row r="12" customFormat="false" ht="23.85" hidden="false" customHeight="false" outlineLevel="0" collapsed="false">
      <c r="A12" s="4" t="n">
        <v>8</v>
      </c>
      <c r="B12" s="4" t="s">
        <v>47</v>
      </c>
      <c r="C12" s="5" t="s">
        <v>39</v>
      </c>
      <c r="D12" s="5" t="s">
        <v>48</v>
      </c>
      <c r="E12" s="5" t="s">
        <v>49</v>
      </c>
      <c r="F12" s="4" t="s">
        <v>16</v>
      </c>
      <c r="G12" s="4" t="n">
        <v>2</v>
      </c>
      <c r="H12" s="4" t="s">
        <v>17</v>
      </c>
      <c r="I12" s="4" t="s">
        <v>18</v>
      </c>
      <c r="J12" s="5" t="s">
        <v>50</v>
      </c>
    </row>
    <row r="13" customFormat="false" ht="23.85" hidden="false" customHeight="false" outlineLevel="0" collapsed="false">
      <c r="A13" s="4" t="n">
        <v>9</v>
      </c>
      <c r="B13" s="4" t="s">
        <v>51</v>
      </c>
      <c r="C13" s="5" t="s">
        <v>52</v>
      </c>
      <c r="D13" s="5" t="s">
        <v>53</v>
      </c>
      <c r="E13" s="5" t="s">
        <v>54</v>
      </c>
      <c r="F13" s="4" t="s">
        <v>16</v>
      </c>
      <c r="G13" s="4" t="n">
        <v>3</v>
      </c>
      <c r="H13" s="4" t="s">
        <v>32</v>
      </c>
      <c r="I13" s="4" t="s">
        <v>18</v>
      </c>
      <c r="J13" s="5" t="s">
        <v>55</v>
      </c>
    </row>
    <row r="14" customFormat="false" ht="23.85" hidden="false" customHeight="false" outlineLevel="0" collapsed="false">
      <c r="A14" s="4" t="n">
        <v>10</v>
      </c>
      <c r="B14" s="4" t="s">
        <v>56</v>
      </c>
      <c r="C14" s="5" t="s">
        <v>52</v>
      </c>
      <c r="D14" s="5" t="s">
        <v>57</v>
      </c>
      <c r="E14" s="5" t="s">
        <v>58</v>
      </c>
      <c r="F14" s="4" t="s">
        <v>16</v>
      </c>
      <c r="G14" s="4" t="n">
        <v>3</v>
      </c>
      <c r="H14" s="4" t="s">
        <v>32</v>
      </c>
      <c r="I14" s="4" t="s">
        <v>18</v>
      </c>
      <c r="J14" s="5" t="s">
        <v>59</v>
      </c>
    </row>
    <row r="15" customFormat="false" ht="46.25" hidden="false" customHeight="false" outlineLevel="0" collapsed="false">
      <c r="A15" s="4" t="n">
        <v>11</v>
      </c>
      <c r="B15" s="4" t="s">
        <v>60</v>
      </c>
      <c r="C15" s="5" t="s">
        <v>61</v>
      </c>
      <c r="D15" s="5" t="s">
        <v>62</v>
      </c>
      <c r="E15" s="5" t="s">
        <v>63</v>
      </c>
      <c r="F15" s="4" t="s">
        <v>16</v>
      </c>
      <c r="G15" s="4" t="n">
        <v>3</v>
      </c>
      <c r="H15" s="4" t="s">
        <v>32</v>
      </c>
      <c r="I15" s="4" t="s">
        <v>18</v>
      </c>
      <c r="J15" s="5" t="s">
        <v>64</v>
      </c>
    </row>
    <row r="16" customFormat="false" ht="23.85" hidden="false" customHeight="false" outlineLevel="0" collapsed="false">
      <c r="A16" s="4" t="n">
        <v>12</v>
      </c>
      <c r="B16" s="4" t="s">
        <v>65</v>
      </c>
      <c r="C16" s="5" t="s">
        <v>61</v>
      </c>
      <c r="D16" s="5" t="s">
        <v>66</v>
      </c>
      <c r="E16" s="5" t="s">
        <v>67</v>
      </c>
      <c r="F16" s="4" t="s">
        <v>16</v>
      </c>
      <c r="G16" s="4" t="n">
        <v>2</v>
      </c>
      <c r="H16" s="4" t="s">
        <v>32</v>
      </c>
      <c r="I16" s="4" t="s">
        <v>18</v>
      </c>
      <c r="J16" s="5" t="s">
        <v>68</v>
      </c>
    </row>
    <row r="17" customFormat="false" ht="35.05" hidden="false" customHeight="false" outlineLevel="0" collapsed="false">
      <c r="A17" s="4" t="n">
        <v>13</v>
      </c>
      <c r="B17" s="4" t="s">
        <v>69</v>
      </c>
      <c r="C17" s="5" t="s">
        <v>70</v>
      </c>
      <c r="D17" s="5" t="s">
        <v>71</v>
      </c>
      <c r="E17" s="5" t="s">
        <v>72</v>
      </c>
      <c r="F17" s="4" t="s">
        <v>16</v>
      </c>
      <c r="G17" s="4" t="n">
        <v>5</v>
      </c>
      <c r="H17" s="4" t="s">
        <v>32</v>
      </c>
      <c r="I17" s="4" t="s">
        <v>18</v>
      </c>
      <c r="J17" s="5" t="s">
        <v>73</v>
      </c>
    </row>
    <row r="18" customFormat="false" ht="35.05" hidden="false" customHeight="false" outlineLevel="0" collapsed="false">
      <c r="A18" s="4" t="n">
        <v>14</v>
      </c>
      <c r="B18" s="4" t="s">
        <v>74</v>
      </c>
      <c r="C18" s="5" t="s">
        <v>70</v>
      </c>
      <c r="D18" s="5" t="s">
        <v>75</v>
      </c>
      <c r="E18" s="5" t="s">
        <v>76</v>
      </c>
      <c r="F18" s="4" t="s">
        <v>16</v>
      </c>
      <c r="G18" s="4" t="n">
        <v>2</v>
      </c>
      <c r="H18" s="4" t="s">
        <v>32</v>
      </c>
      <c r="I18" s="4" t="s">
        <v>18</v>
      </c>
      <c r="J18" s="5" t="s">
        <v>77</v>
      </c>
    </row>
    <row r="19" customFormat="false" ht="23.85" hidden="false" customHeight="false" outlineLevel="0" collapsed="false">
      <c r="A19" s="4" t="n">
        <v>15</v>
      </c>
      <c r="B19" s="4" t="s">
        <v>78</v>
      </c>
      <c r="C19" s="5" t="s">
        <v>79</v>
      </c>
      <c r="D19" s="5" t="s">
        <v>80</v>
      </c>
      <c r="E19" s="5" t="s">
        <v>81</v>
      </c>
      <c r="F19" s="4" t="s">
        <v>16</v>
      </c>
      <c r="G19" s="4" t="n">
        <v>3</v>
      </c>
      <c r="H19" s="4" t="s">
        <v>17</v>
      </c>
      <c r="I19" s="4" t="s">
        <v>18</v>
      </c>
      <c r="J19" s="5" t="s">
        <v>82</v>
      </c>
    </row>
    <row r="20" customFormat="false" ht="35.05" hidden="false" customHeight="false" outlineLevel="0" collapsed="false">
      <c r="A20" s="4" t="n">
        <v>16</v>
      </c>
      <c r="B20" s="4" t="s">
        <v>83</v>
      </c>
      <c r="C20" s="5" t="s">
        <v>79</v>
      </c>
      <c r="D20" s="5" t="s">
        <v>84</v>
      </c>
      <c r="E20" s="5" t="s">
        <v>85</v>
      </c>
      <c r="F20" s="4" t="s">
        <v>16</v>
      </c>
      <c r="G20" s="4" t="n">
        <v>3</v>
      </c>
      <c r="H20" s="4" t="s">
        <v>17</v>
      </c>
      <c r="I20" s="4" t="s">
        <v>18</v>
      </c>
      <c r="J20" s="5" t="s">
        <v>86</v>
      </c>
    </row>
    <row r="21" customFormat="false" ht="23.85" hidden="false" customHeight="false" outlineLevel="0" collapsed="false">
      <c r="A21" s="4" t="n">
        <v>17</v>
      </c>
      <c r="B21" s="4" t="s">
        <v>87</v>
      </c>
      <c r="C21" s="5" t="s">
        <v>79</v>
      </c>
      <c r="D21" s="5" t="s">
        <v>88</v>
      </c>
      <c r="E21" s="5" t="s">
        <v>89</v>
      </c>
      <c r="F21" s="4" t="s">
        <v>16</v>
      </c>
      <c r="G21" s="4" t="n">
        <v>5</v>
      </c>
      <c r="H21" s="4" t="s">
        <v>90</v>
      </c>
      <c r="I21" s="4" t="s">
        <v>18</v>
      </c>
      <c r="J21" s="5" t="s">
        <v>91</v>
      </c>
    </row>
    <row r="22" customFormat="false" ht="23.85" hidden="false" customHeight="false" outlineLevel="0" collapsed="false">
      <c r="A22" s="4" t="n">
        <v>18</v>
      </c>
      <c r="B22" s="4" t="s">
        <v>92</v>
      </c>
      <c r="C22" s="5" t="s">
        <v>79</v>
      </c>
      <c r="D22" s="5" t="s">
        <v>93</v>
      </c>
      <c r="E22" s="5" t="s">
        <v>94</v>
      </c>
      <c r="F22" s="4" t="s">
        <v>16</v>
      </c>
      <c r="G22" s="4" t="n">
        <v>5</v>
      </c>
      <c r="H22" s="4" t="s">
        <v>95</v>
      </c>
      <c r="I22" s="4" t="s">
        <v>96</v>
      </c>
      <c r="J22" s="5" t="s">
        <v>97</v>
      </c>
    </row>
    <row r="23" customFormat="false" ht="35.05" hidden="false" customHeight="false" outlineLevel="0" collapsed="false">
      <c r="A23" s="4" t="n">
        <v>19</v>
      </c>
      <c r="B23" s="4" t="s">
        <v>98</v>
      </c>
      <c r="C23" s="5" t="s">
        <v>13</v>
      </c>
      <c r="D23" s="5" t="s">
        <v>99</v>
      </c>
      <c r="E23" s="5" t="s">
        <v>100</v>
      </c>
      <c r="F23" s="4" t="s">
        <v>101</v>
      </c>
      <c r="G23" s="4" t="n">
        <v>3</v>
      </c>
      <c r="H23" s="4" t="s">
        <v>17</v>
      </c>
      <c r="I23" s="4" t="s">
        <v>18</v>
      </c>
      <c r="J23" s="5" t="s">
        <v>102</v>
      </c>
    </row>
    <row r="24" customFormat="false" ht="35.05" hidden="false" customHeight="false" outlineLevel="0" collapsed="false">
      <c r="A24" s="4" t="n">
        <v>20</v>
      </c>
      <c r="B24" s="4" t="s">
        <v>103</v>
      </c>
      <c r="C24" s="5" t="s">
        <v>13</v>
      </c>
      <c r="D24" s="5" t="s">
        <v>104</v>
      </c>
      <c r="E24" s="5" t="s">
        <v>105</v>
      </c>
      <c r="F24" s="4" t="s">
        <v>101</v>
      </c>
      <c r="G24" s="4" t="n">
        <v>2</v>
      </c>
      <c r="H24" s="4" t="s">
        <v>17</v>
      </c>
      <c r="I24" s="4" t="s">
        <v>18</v>
      </c>
      <c r="J24" s="5" t="s">
        <v>106</v>
      </c>
    </row>
    <row r="25" customFormat="false" ht="35.05" hidden="false" customHeight="false" outlineLevel="0" collapsed="false">
      <c r="A25" s="4" t="n">
        <v>21</v>
      </c>
      <c r="B25" s="4" t="s">
        <v>107</v>
      </c>
      <c r="C25" s="5" t="s">
        <v>39</v>
      </c>
      <c r="D25" s="5" t="s">
        <v>108</v>
      </c>
      <c r="E25" s="5" t="s">
        <v>109</v>
      </c>
      <c r="F25" s="4" t="s">
        <v>101</v>
      </c>
      <c r="G25" s="4" t="n">
        <v>2</v>
      </c>
      <c r="H25" s="4" t="s">
        <v>17</v>
      </c>
      <c r="I25" s="4" t="s">
        <v>18</v>
      </c>
      <c r="J25" s="5" t="s">
        <v>110</v>
      </c>
    </row>
    <row r="26" customFormat="false" ht="23.85" hidden="false" customHeight="false" outlineLevel="0" collapsed="false">
      <c r="A26" s="4" t="n">
        <v>22</v>
      </c>
      <c r="B26" s="4" t="s">
        <v>111</v>
      </c>
      <c r="C26" s="5" t="s">
        <v>39</v>
      </c>
      <c r="D26" s="5" t="s">
        <v>112</v>
      </c>
      <c r="E26" s="5" t="s">
        <v>113</v>
      </c>
      <c r="F26" s="4" t="s">
        <v>101</v>
      </c>
      <c r="G26" s="4" t="n">
        <v>2</v>
      </c>
      <c r="H26" s="4" t="s">
        <v>17</v>
      </c>
      <c r="I26" s="4" t="s">
        <v>18</v>
      </c>
      <c r="J26" s="5" t="s">
        <v>114</v>
      </c>
    </row>
    <row r="27" customFormat="false" ht="23.85" hidden="false" customHeight="false" outlineLevel="0" collapsed="false">
      <c r="A27" s="4" t="n">
        <v>23</v>
      </c>
      <c r="B27" s="4" t="s">
        <v>115</v>
      </c>
      <c r="C27" s="5" t="s">
        <v>61</v>
      </c>
      <c r="D27" s="5" t="s">
        <v>116</v>
      </c>
      <c r="E27" s="5" t="s">
        <v>117</v>
      </c>
      <c r="F27" s="4" t="s">
        <v>101</v>
      </c>
      <c r="G27" s="4" t="n">
        <v>2</v>
      </c>
      <c r="H27" s="4" t="s">
        <v>32</v>
      </c>
      <c r="I27" s="4" t="s">
        <v>18</v>
      </c>
      <c r="J27" s="5" t="s">
        <v>118</v>
      </c>
    </row>
    <row r="28" customFormat="false" ht="35.05" hidden="false" customHeight="false" outlineLevel="0" collapsed="false">
      <c r="A28" s="4" t="n">
        <v>24</v>
      </c>
      <c r="B28" s="4" t="s">
        <v>119</v>
      </c>
      <c r="C28" s="5" t="s">
        <v>70</v>
      </c>
      <c r="D28" s="5" t="s">
        <v>120</v>
      </c>
      <c r="E28" s="5" t="s">
        <v>121</v>
      </c>
      <c r="F28" s="4" t="s">
        <v>101</v>
      </c>
      <c r="G28" s="4" t="n">
        <v>2</v>
      </c>
      <c r="H28" s="4" t="s">
        <v>32</v>
      </c>
      <c r="I28" s="4" t="s">
        <v>18</v>
      </c>
      <c r="J28" s="5" t="s">
        <v>122</v>
      </c>
    </row>
    <row r="29" customFormat="false" ht="23.85" hidden="false" customHeight="false" outlineLevel="0" collapsed="false">
      <c r="A29" s="4" t="n">
        <v>25</v>
      </c>
      <c r="B29" s="4" t="s">
        <v>123</v>
      </c>
      <c r="C29" s="5" t="s">
        <v>70</v>
      </c>
      <c r="D29" s="5" t="s">
        <v>124</v>
      </c>
      <c r="E29" s="5" t="s">
        <v>125</v>
      </c>
      <c r="F29" s="4" t="s">
        <v>101</v>
      </c>
      <c r="G29" s="4" t="n">
        <v>2</v>
      </c>
      <c r="H29" s="4" t="s">
        <v>32</v>
      </c>
      <c r="I29" s="4" t="s">
        <v>18</v>
      </c>
      <c r="J29" s="5" t="s">
        <v>126</v>
      </c>
    </row>
    <row r="30" customFormat="false" ht="35.05" hidden="false" customHeight="false" outlineLevel="0" collapsed="false">
      <c r="A30" s="4" t="n">
        <v>26</v>
      </c>
      <c r="B30" s="4" t="s">
        <v>127</v>
      </c>
      <c r="C30" s="5" t="s">
        <v>70</v>
      </c>
      <c r="D30" s="5" t="s">
        <v>128</v>
      </c>
      <c r="E30" s="5" t="s">
        <v>129</v>
      </c>
      <c r="F30" s="4" t="s">
        <v>101</v>
      </c>
      <c r="G30" s="4" t="n">
        <v>2</v>
      </c>
      <c r="H30" s="4" t="s">
        <v>32</v>
      </c>
      <c r="I30" s="4" t="s">
        <v>18</v>
      </c>
      <c r="J30" s="5" t="s">
        <v>130</v>
      </c>
    </row>
    <row r="31" customFormat="false" ht="23.85" hidden="false" customHeight="false" outlineLevel="0" collapsed="false">
      <c r="A31" s="4" t="n">
        <v>27</v>
      </c>
      <c r="B31" s="4" t="s">
        <v>131</v>
      </c>
      <c r="C31" s="5" t="s">
        <v>79</v>
      </c>
      <c r="D31" s="5" t="s">
        <v>132</v>
      </c>
      <c r="E31" s="5" t="s">
        <v>133</v>
      </c>
      <c r="F31" s="4" t="s">
        <v>101</v>
      </c>
      <c r="G31" s="4" t="n">
        <v>3</v>
      </c>
      <c r="H31" s="4" t="s">
        <v>32</v>
      </c>
      <c r="I31" s="4" t="s">
        <v>18</v>
      </c>
      <c r="J31" s="5" t="s">
        <v>134</v>
      </c>
    </row>
    <row r="32" customFormat="false" ht="23.85" hidden="false" customHeight="false" outlineLevel="0" collapsed="false">
      <c r="A32" s="4" t="n">
        <v>28</v>
      </c>
      <c r="B32" s="4" t="s">
        <v>135</v>
      </c>
      <c r="C32" s="5" t="s">
        <v>79</v>
      </c>
      <c r="D32" s="5" t="s">
        <v>136</v>
      </c>
      <c r="E32" s="5" t="s">
        <v>137</v>
      </c>
      <c r="F32" s="4" t="s">
        <v>101</v>
      </c>
      <c r="G32" s="4" t="n">
        <v>2</v>
      </c>
      <c r="H32" s="4" t="s">
        <v>32</v>
      </c>
      <c r="I32" s="4" t="s">
        <v>18</v>
      </c>
      <c r="J32" s="5" t="s">
        <v>138</v>
      </c>
    </row>
    <row r="33" customFormat="false" ht="23.85" hidden="false" customHeight="false" outlineLevel="0" collapsed="false">
      <c r="A33" s="4" t="n">
        <v>29</v>
      </c>
      <c r="B33" s="4" t="s">
        <v>139</v>
      </c>
      <c r="C33" s="5" t="s">
        <v>13</v>
      </c>
      <c r="D33" s="5" t="s">
        <v>140</v>
      </c>
      <c r="E33" s="5" t="s">
        <v>141</v>
      </c>
      <c r="F33" s="4" t="s">
        <v>142</v>
      </c>
      <c r="G33" s="4" t="n">
        <v>5</v>
      </c>
      <c r="H33" s="4" t="s">
        <v>143</v>
      </c>
      <c r="I33" s="4" t="s">
        <v>144</v>
      </c>
      <c r="J33" s="5" t="s">
        <v>145</v>
      </c>
    </row>
    <row r="34" customFormat="false" ht="23.85" hidden="false" customHeight="false" outlineLevel="0" collapsed="false">
      <c r="A34" s="4" t="n">
        <v>30</v>
      </c>
      <c r="B34" s="4" t="s">
        <v>146</v>
      </c>
      <c r="C34" s="5" t="s">
        <v>61</v>
      </c>
      <c r="D34" s="5" t="s">
        <v>147</v>
      </c>
      <c r="E34" s="5" t="s">
        <v>148</v>
      </c>
      <c r="F34" s="4" t="s">
        <v>142</v>
      </c>
      <c r="G34" s="4" t="n">
        <v>1</v>
      </c>
      <c r="H34" s="4" t="s">
        <v>32</v>
      </c>
      <c r="I34" s="4" t="s">
        <v>18</v>
      </c>
      <c r="J34" s="5" t="s">
        <v>149</v>
      </c>
    </row>
    <row r="35" customFormat="false" ht="23.85" hidden="false" customHeight="false" outlineLevel="0" collapsed="false">
      <c r="A35" s="4" t="n">
        <v>31</v>
      </c>
      <c r="B35" s="4" t="s">
        <v>150</v>
      </c>
      <c r="C35" s="5" t="s">
        <v>151</v>
      </c>
      <c r="D35" s="5" t="s">
        <v>152</v>
      </c>
      <c r="E35" s="5" t="s">
        <v>153</v>
      </c>
      <c r="F35" s="4" t="s">
        <v>142</v>
      </c>
      <c r="G35" s="4" t="n">
        <v>3</v>
      </c>
      <c r="H35" s="4" t="s">
        <v>143</v>
      </c>
      <c r="I35" s="4" t="s">
        <v>144</v>
      </c>
      <c r="J35" s="5" t="s">
        <v>145</v>
      </c>
    </row>
    <row r="36" customFormat="false" ht="23.85" hidden="false" customHeight="false" outlineLevel="0" collapsed="false">
      <c r="A36" s="4" t="n">
        <v>32</v>
      </c>
      <c r="B36" s="4" t="s">
        <v>154</v>
      </c>
      <c r="C36" s="5" t="s">
        <v>151</v>
      </c>
      <c r="D36" s="5" t="s">
        <v>155</v>
      </c>
      <c r="E36" s="5" t="s">
        <v>156</v>
      </c>
      <c r="F36" s="4" t="s">
        <v>142</v>
      </c>
      <c r="G36" s="4" t="n">
        <v>8</v>
      </c>
      <c r="H36" s="4" t="s">
        <v>143</v>
      </c>
      <c r="I36" s="4" t="s">
        <v>144</v>
      </c>
      <c r="J36" s="5" t="s">
        <v>145</v>
      </c>
    </row>
    <row r="37" customFormat="false" ht="23.85" hidden="false" customHeight="false" outlineLevel="0" collapsed="false">
      <c r="A37" s="4" t="n">
        <v>33</v>
      </c>
      <c r="B37" s="4" t="s">
        <v>157</v>
      </c>
      <c r="C37" s="5" t="s">
        <v>158</v>
      </c>
      <c r="D37" s="5" t="s">
        <v>159</v>
      </c>
      <c r="E37" s="5" t="s">
        <v>160</v>
      </c>
      <c r="F37" s="4" t="s">
        <v>142</v>
      </c>
      <c r="G37" s="4" t="n">
        <v>1</v>
      </c>
      <c r="H37" s="4" t="s">
        <v>161</v>
      </c>
      <c r="I37" s="4" t="s">
        <v>18</v>
      </c>
      <c r="J37" s="5" t="s">
        <v>27</v>
      </c>
    </row>
    <row r="38" customFormat="false" ht="46.25" hidden="false" customHeight="false" outlineLevel="0" collapsed="false">
      <c r="A38" s="4" t="n">
        <v>34</v>
      </c>
      <c r="B38" s="4" t="s">
        <v>162</v>
      </c>
      <c r="C38" s="5" t="s">
        <v>158</v>
      </c>
      <c r="D38" s="5" t="s">
        <v>163</v>
      </c>
      <c r="E38" s="5" t="s">
        <v>164</v>
      </c>
      <c r="F38" s="4" t="s">
        <v>142</v>
      </c>
      <c r="G38" s="4" t="n">
        <v>2</v>
      </c>
      <c r="H38" s="4" t="s">
        <v>32</v>
      </c>
      <c r="I38" s="4" t="s">
        <v>18</v>
      </c>
      <c r="J38" s="5" t="s">
        <v>165</v>
      </c>
    </row>
    <row r="39" customFormat="false" ht="35.05" hidden="false" customHeight="false" outlineLevel="0" collapsed="false">
      <c r="A39" s="4" t="n">
        <v>35</v>
      </c>
      <c r="B39" s="4" t="s">
        <v>166</v>
      </c>
      <c r="C39" s="5" t="s">
        <v>79</v>
      </c>
      <c r="D39" s="5" t="s">
        <v>167</v>
      </c>
      <c r="E39" s="5" t="s">
        <v>168</v>
      </c>
      <c r="F39" s="4" t="s">
        <v>169</v>
      </c>
      <c r="G39" s="4" t="n">
        <v>8</v>
      </c>
      <c r="H39" s="4" t="s">
        <v>143</v>
      </c>
      <c r="I39" s="4" t="s">
        <v>144</v>
      </c>
      <c r="J39" s="5" t="s">
        <v>170</v>
      </c>
    </row>
    <row r="40" customFormat="false" ht="23.85" hidden="false" customHeight="false" outlineLevel="0" collapsed="false">
      <c r="A40" s="4" t="n">
        <v>36</v>
      </c>
      <c r="B40" s="4" t="s">
        <v>171</v>
      </c>
      <c r="C40" s="5" t="s">
        <v>79</v>
      </c>
      <c r="D40" s="5" t="s">
        <v>172</v>
      </c>
      <c r="E40" s="5" t="s">
        <v>173</v>
      </c>
      <c r="F40" s="4" t="s">
        <v>169</v>
      </c>
      <c r="G40" s="4" t="n">
        <v>5</v>
      </c>
      <c r="H40" s="4" t="s">
        <v>143</v>
      </c>
      <c r="I40" s="4" t="s">
        <v>144</v>
      </c>
      <c r="J40" s="5" t="s">
        <v>174</v>
      </c>
    </row>
  </sheetData>
  <autoFilter ref="A4:J40"/>
  <conditionalFormatting sqref="I5:I40">
    <cfRule type="expression" priority="2" aboveAverage="0" equalAverage="0" bottom="0" percent="0" rank="0" text="" dxfId="6">
      <formula>$I5="Hecho"</formula>
    </cfRule>
    <cfRule type="expression" priority="3" aboveAverage="0" equalAverage="0" bottom="0" percent="0" rank="0" text="" dxfId="7">
      <formula>$I5="Parcial"</formula>
    </cfRule>
    <cfRule type="expression" priority="4" aboveAverage="0" equalAverage="0" bottom="0" percent="0" rank="0" text="" dxfId="8">
      <formula>$I5="Pendiente"</formula>
    </cfRule>
    <cfRule type="expression" priority="5" aboveAverage="0" equalAverage="0" bottom="0" percent="0" rank="0" text="" dxfId="9">
      <formula>$I5="Trabajo futuro"</formula>
    </cfRule>
  </conditionalFormatting>
  <dataValidations count="2">
    <dataValidation allowBlank="false" errorStyle="stop" operator="between" showDropDown="false" showErrorMessage="false" showInputMessage="false" sqref="I5:I40" type="list">
      <formula1>"Hecho,Parcial,Pendiente,Trabajo futuro"</formula1>
      <formula2>0</formula2>
    </dataValidation>
    <dataValidation allowBlank="false" errorStyle="stop" operator="between" showDropDown="false" showErrorMessage="false" showInputMessage="false" sqref="F5:F4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5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176</v>
      </c>
      <c r="D3" s="3" t="s">
        <v>177</v>
      </c>
      <c r="E3" s="3" t="s">
        <v>8</v>
      </c>
      <c r="F3" s="3" t="s">
        <v>178</v>
      </c>
      <c r="G3" s="3" t="s">
        <v>179</v>
      </c>
    </row>
    <row r="4" customFormat="false" ht="15" hidden="false" customHeight="false" outlineLevel="0" collapsed="false">
      <c r="A4" s="5" t="s">
        <v>180</v>
      </c>
      <c r="B4" s="5" t="s">
        <v>181</v>
      </c>
      <c r="C4" s="5" t="s">
        <v>182</v>
      </c>
      <c r="D4" s="5" t="n">
        <f aca="false">COUNTIF('Product Backlog'!$C$5:$C$40,"E1 · Autenticación y cuenta")</f>
        <v>6</v>
      </c>
      <c r="E4" s="5" t="n">
        <f aca="false">SUMIF('Product Backlog'!$C$5:$C$40,"E1 · Autenticación y cuenta",'Product Backlog'!$G$5:$G$40)</f>
        <v>17</v>
      </c>
      <c r="F4" s="5" t="n">
        <f aca="false">SUMIFS('Product Backlog'!$G$5:$G$40,'Product Backlog'!$C$5:$C$40,"E1 · Autenticación y cuenta",'Product Backlog'!$I$5:$I$40,"Hecho")</f>
        <v>12</v>
      </c>
      <c r="G4" s="6" t="n">
        <f aca="false">IF(E4=0,0,F4/E4)</f>
        <v>0.705882352941177</v>
      </c>
    </row>
    <row r="5" customFormat="false" ht="15" hidden="false" customHeight="false" outlineLevel="0" collapsed="false">
      <c r="A5" s="5" t="s">
        <v>183</v>
      </c>
      <c r="B5" s="5" t="s">
        <v>184</v>
      </c>
      <c r="C5" s="5" t="s">
        <v>185</v>
      </c>
      <c r="D5" s="5" t="n">
        <f aca="false">COUNTIF('Product Backlog'!$C$5:$C$40,"E2 · Evaluación diagnóstica")</f>
        <v>2</v>
      </c>
      <c r="E5" s="5" t="n">
        <f aca="false">SUMIF('Product Backlog'!$C$5:$C$40,"E2 · Evaluación diagnóstica",'Product Backlog'!$G$5:$G$40)</f>
        <v>8</v>
      </c>
      <c r="F5" s="5" t="n">
        <f aca="false">SUMIFS('Product Backlog'!$G$5:$G$40,'Product Backlog'!$C$5:$C$40,"E2 · Evaluación diagnóstica",'Product Backlog'!$I$5:$I$40,"Hecho")</f>
        <v>8</v>
      </c>
      <c r="G5" s="6" t="n">
        <f aca="false">IF(E5=0,0,F5/E5)</f>
        <v>1</v>
      </c>
    </row>
    <row r="6" customFormat="false" ht="15" hidden="false" customHeight="false" outlineLevel="0" collapsed="false">
      <c r="A6" s="5" t="s">
        <v>186</v>
      </c>
      <c r="B6" s="5" t="s">
        <v>187</v>
      </c>
      <c r="C6" s="5" t="s">
        <v>188</v>
      </c>
      <c r="D6" s="5" t="n">
        <f aca="false">COUNTIF('Product Backlog'!$C$5:$C$40,"E3 · Grupos de estudio")</f>
        <v>5</v>
      </c>
      <c r="E6" s="5" t="n">
        <f aca="false">SUMIF('Product Backlog'!$C$5:$C$40,"E3 · Grupos de estudio",'Product Backlog'!$G$5:$G$40)</f>
        <v>12</v>
      </c>
      <c r="F6" s="5" t="n">
        <f aca="false">SUMIFS('Product Backlog'!$G$5:$G$40,'Product Backlog'!$C$5:$C$40,"E3 · Grupos de estudio",'Product Backlog'!$I$5:$I$40,"Hecho")</f>
        <v>12</v>
      </c>
      <c r="G6" s="6" t="n">
        <f aca="false">IF(E6=0,0,F6/E6)</f>
        <v>1</v>
      </c>
    </row>
    <row r="7" customFormat="false" ht="15" hidden="false" customHeight="false" outlineLevel="0" collapsed="false">
      <c r="A7" s="5" t="s">
        <v>189</v>
      </c>
      <c r="B7" s="5" t="s">
        <v>190</v>
      </c>
      <c r="C7" s="5" t="s">
        <v>191</v>
      </c>
      <c r="D7" s="5" t="n">
        <f aca="false">COUNTIF('Product Backlog'!$C$5:$C$40,"E4 · Tests semanales")</f>
        <v>2</v>
      </c>
      <c r="E7" s="5" t="n">
        <f aca="false">SUMIF('Product Backlog'!$C$5:$C$40,"E4 · Tests semanales",'Product Backlog'!$G$5:$G$40)</f>
        <v>6</v>
      </c>
      <c r="F7" s="5" t="n">
        <f aca="false">SUMIFS('Product Backlog'!$G$5:$G$40,'Product Backlog'!$C$5:$C$40,"E4 · Tests semanales",'Product Backlog'!$I$5:$I$40,"Hecho")</f>
        <v>6</v>
      </c>
      <c r="G7" s="6" t="n">
        <f aca="false">IF(E7=0,0,F7/E7)</f>
        <v>1</v>
      </c>
    </row>
    <row r="8" customFormat="false" ht="15" hidden="false" customHeight="false" outlineLevel="0" collapsed="false">
      <c r="A8" s="5" t="s">
        <v>192</v>
      </c>
      <c r="B8" s="5" t="s">
        <v>193</v>
      </c>
      <c r="C8" s="5" t="s">
        <v>194</v>
      </c>
      <c r="D8" s="5" t="n">
        <f aca="false">COUNTIF('Product Backlog'!$C$5:$C$40,"E5 · Coordinación de encuentros")</f>
        <v>4</v>
      </c>
      <c r="E8" s="5" t="n">
        <f aca="false">SUMIF('Product Backlog'!$C$5:$C$40,"E5 · Coordinación de encuentros",'Product Backlog'!$G$5:$G$40)</f>
        <v>8</v>
      </c>
      <c r="F8" s="5" t="n">
        <f aca="false">SUMIFS('Product Backlog'!$G$5:$G$40,'Product Backlog'!$C$5:$C$40,"E5 · Coordinación de encuentros",'Product Backlog'!$I$5:$I$40,"Hecho")</f>
        <v>8</v>
      </c>
      <c r="G8" s="6" t="n">
        <f aca="false">IF(E8=0,0,F8/E8)</f>
        <v>1</v>
      </c>
    </row>
    <row r="9" customFormat="false" ht="15" hidden="false" customHeight="false" outlineLevel="0" collapsed="false">
      <c r="A9" s="5" t="s">
        <v>195</v>
      </c>
      <c r="B9" s="5" t="s">
        <v>196</v>
      </c>
      <c r="C9" s="5" t="s">
        <v>197</v>
      </c>
      <c r="D9" s="5" t="n">
        <f aca="false">COUNTIF('Product Backlog'!$C$5:$C$40,"E6 · Administración")</f>
        <v>5</v>
      </c>
      <c r="E9" s="5" t="n">
        <f aca="false">SUMIF('Product Backlog'!$C$5:$C$40,"E6 · Administración",'Product Backlog'!$G$5:$G$40)</f>
        <v>13</v>
      </c>
      <c r="F9" s="5" t="n">
        <f aca="false">SUMIFS('Product Backlog'!$G$5:$G$40,'Product Backlog'!$C$5:$C$40,"E6 · Administración",'Product Backlog'!$I$5:$I$40,"Hecho")</f>
        <v>13</v>
      </c>
      <c r="G9" s="6" t="n">
        <f aca="false">IF(E9=0,0,F9/E9)</f>
        <v>1</v>
      </c>
    </row>
    <row r="10" customFormat="false" ht="15" hidden="false" customHeight="false" outlineLevel="0" collapsed="false">
      <c r="A10" s="5" t="s">
        <v>198</v>
      </c>
      <c r="B10" s="5" t="s">
        <v>199</v>
      </c>
      <c r="C10" s="5" t="s">
        <v>200</v>
      </c>
      <c r="D10" s="5" t="n">
        <f aca="false">COUNTIF('Product Backlog'!$C$5:$C$40,"E7 · Comunidad")</f>
        <v>2</v>
      </c>
      <c r="E10" s="5" t="n">
        <f aca="false">SUMIF('Product Backlog'!$C$5:$C$40,"E7 · Comunidad",'Product Backlog'!$G$5:$G$40)</f>
        <v>11</v>
      </c>
      <c r="F10" s="5" t="n">
        <f aca="false">SUMIFS('Product Backlog'!$G$5:$G$40,'Product Backlog'!$C$5:$C$40,"E7 · Comunidad",'Product Backlog'!$I$5:$I$40,"Hecho")</f>
        <v>0</v>
      </c>
      <c r="G10" s="6" t="n">
        <f aca="false">IF(E10=0,0,F10/E10)</f>
        <v>0</v>
      </c>
    </row>
    <row r="11" customFormat="false" ht="15" hidden="false" customHeight="false" outlineLevel="0" collapsed="false">
      <c r="A11" s="5" t="s">
        <v>201</v>
      </c>
      <c r="B11" s="5" t="s">
        <v>202</v>
      </c>
      <c r="C11" s="5" t="s">
        <v>203</v>
      </c>
      <c r="D11" s="5" t="n">
        <f aca="false">COUNTIF('Product Backlog'!$C$5:$C$40,"E8 · Preferencias")</f>
        <v>2</v>
      </c>
      <c r="E11" s="5" t="n">
        <f aca="false">SUMIF('Product Backlog'!$C$5:$C$40,"E8 · Preferencias",'Product Backlog'!$G$5:$G$40)</f>
        <v>3</v>
      </c>
      <c r="F11" s="5" t="n">
        <f aca="false">SUMIFS('Product Backlog'!$G$5:$G$40,'Product Backlog'!$C$5:$C$40,"E8 · Preferencias",'Product Backlog'!$I$5:$I$40,"Hecho")</f>
        <v>3</v>
      </c>
      <c r="G11" s="6" t="n">
        <f aca="false">IF(E11=0,0,F11/E11)</f>
        <v>1</v>
      </c>
    </row>
    <row r="12" customFormat="false" ht="15" hidden="false" customHeight="false" outlineLevel="0" collapsed="false">
      <c r="A12" s="5" t="s">
        <v>204</v>
      </c>
      <c r="B12" s="5" t="s">
        <v>205</v>
      </c>
      <c r="C12" s="5" t="s">
        <v>206</v>
      </c>
      <c r="D12" s="5" t="n">
        <f aca="false">COUNTIF('Product Backlog'!$C$5:$C$40,"E9 · Calidad y operación (historias técnicas)")</f>
        <v>8</v>
      </c>
      <c r="E12" s="5" t="n">
        <f aca="false">SUMIF('Product Backlog'!$C$5:$C$40,"E9 · Calidad y operación (historias técnicas)",'Product Backlog'!$G$5:$G$40)</f>
        <v>34</v>
      </c>
      <c r="F12" s="5" t="n">
        <f aca="false">SUMIFS('Product Backlog'!$G$5:$G$40,'Product Backlog'!$C$5:$C$40,"E9 · Calidad y operación (historias técnicas)",'Product Backlog'!$I$5:$I$40,"Hecho")</f>
        <v>16</v>
      </c>
      <c r="G12" s="6" t="n">
        <f aca="false">IF(E12=0,0,F12/E12)</f>
        <v>0.470588235294118</v>
      </c>
    </row>
    <row r="13" customFormat="false" ht="15" hidden="false" customHeight="false" outlineLevel="0" collapsed="false">
      <c r="A13" s="7"/>
      <c r="B13" s="8" t="s">
        <v>207</v>
      </c>
      <c r="C13" s="7"/>
      <c r="D13" s="8" t="n">
        <f aca="false">SUM(D4:D12)</f>
        <v>36</v>
      </c>
      <c r="E13" s="8" t="n">
        <f aca="false">SUM(E4:E12)</f>
        <v>112</v>
      </c>
      <c r="F13" s="8" t="n">
        <f aca="false">SUM(F4:F12)</f>
        <v>78</v>
      </c>
      <c r="G13" s="9" t="n">
        <f aca="false">IF(E13=0,0,F13/E13)</f>
        <v>0.696428571428571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208</v>
      </c>
    </row>
    <row r="3" customFormat="false" ht="15" hidden="false" customHeight="false" outlineLevel="0" collapsed="false">
      <c r="A3" s="3" t="s">
        <v>9</v>
      </c>
      <c r="B3" s="3" t="s">
        <v>209</v>
      </c>
      <c r="C3" s="3" t="s">
        <v>210</v>
      </c>
      <c r="D3" s="3" t="s">
        <v>177</v>
      </c>
      <c r="E3" s="3" t="s">
        <v>8</v>
      </c>
    </row>
    <row r="4" customFormat="false" ht="23.85" hidden="false" customHeight="false" outlineLevel="0" collapsed="false">
      <c r="A4" s="5" t="s">
        <v>161</v>
      </c>
      <c r="B4" s="5" t="s">
        <v>211</v>
      </c>
      <c r="C4" s="5" t="s">
        <v>212</v>
      </c>
      <c r="D4" s="5" t="n">
        <f aca="false">COUNTIF('Product Backlog'!$H$5:$H$40,"Sprint 3-4")</f>
        <v>1</v>
      </c>
      <c r="E4" s="5" t="n">
        <f aca="false">SUMIF('Product Backlog'!$H$5:$H$40,"Sprint 3-4",'Product Backlog'!$G$5:$G$40)</f>
        <v>1</v>
      </c>
    </row>
    <row r="5" customFormat="false" ht="23.85" hidden="false" customHeight="false" outlineLevel="0" collapsed="false">
      <c r="A5" s="5" t="s">
        <v>17</v>
      </c>
      <c r="B5" s="5" t="s">
        <v>213</v>
      </c>
      <c r="C5" s="5" t="s">
        <v>214</v>
      </c>
      <c r="D5" s="5" t="n">
        <f aca="false">COUNTIF('Product Backlog'!$H$5:$H$40,"Sprint 5")</f>
        <v>12</v>
      </c>
      <c r="E5" s="5" t="n">
        <f aca="false">SUMIF('Product Backlog'!$H$5:$H$40,"Sprint 5",'Product Backlog'!$G$5:$G$40)</f>
        <v>30</v>
      </c>
    </row>
    <row r="6" customFormat="false" ht="15" hidden="false" customHeight="false" outlineLevel="0" collapsed="false">
      <c r="A6" s="5" t="s">
        <v>90</v>
      </c>
      <c r="B6" s="5" t="s">
        <v>215</v>
      </c>
      <c r="C6" s="5" t="s">
        <v>216</v>
      </c>
      <c r="D6" s="5" t="n">
        <f aca="false">COUNTIF('Product Backlog'!$H$5:$H$40,"Sprint 5-6")</f>
        <v>1</v>
      </c>
      <c r="E6" s="5" t="n">
        <f aca="false">SUMIF('Product Backlog'!$H$5:$H$40,"Sprint 5-6",'Product Backlog'!$G$5:$G$40)</f>
        <v>5</v>
      </c>
    </row>
    <row r="7" customFormat="false" ht="23.85" hidden="false" customHeight="false" outlineLevel="0" collapsed="false">
      <c r="A7" s="5" t="s">
        <v>32</v>
      </c>
      <c r="B7" s="5" t="s">
        <v>217</v>
      </c>
      <c r="C7" s="5" t="s">
        <v>218</v>
      </c>
      <c r="D7" s="5" t="n">
        <f aca="false">COUNTIF('Product Backlog'!$H$5:$H$40,"Sprint 6")</f>
        <v>16</v>
      </c>
      <c r="E7" s="5" t="n">
        <f aca="false">SUMIF('Product Backlog'!$H$5:$H$40,"Sprint 6",'Product Backlog'!$G$5:$G$40)</f>
        <v>42</v>
      </c>
    </row>
    <row r="8" customFormat="false" ht="15" hidden="false" customHeight="false" outlineLevel="0" collapsed="false">
      <c r="A8" s="5" t="s">
        <v>95</v>
      </c>
      <c r="B8" s="5" t="s">
        <v>219</v>
      </c>
      <c r="C8" s="5" t="s">
        <v>220</v>
      </c>
      <c r="D8" s="5" t="n">
        <f aca="false">COUNTIF('Product Backlog'!$H$5:$H$40,"Sprint 7")</f>
        <v>1</v>
      </c>
      <c r="E8" s="5" t="n">
        <f aca="false">SUMIF('Product Backlog'!$H$5:$H$40,"Sprint 7",'Product Backlog'!$G$5:$G$40)</f>
        <v>5</v>
      </c>
    </row>
    <row r="9" customFormat="false" ht="23.85" hidden="false" customHeight="false" outlineLevel="0" collapsed="false">
      <c r="A9" s="5" t="s">
        <v>143</v>
      </c>
      <c r="B9" s="5" t="s">
        <v>221</v>
      </c>
      <c r="C9" s="5" t="s">
        <v>222</v>
      </c>
      <c r="D9" s="5" t="n">
        <f aca="false">COUNTIF('Product Backlog'!$H$5:$H$40,"Futuro")</f>
        <v>5</v>
      </c>
      <c r="E9" s="5" t="n">
        <f aca="false">SUMIF('Product Backlog'!$H$5:$H$40,"Futuro",'Product Backlog'!$G$5:$G$40)</f>
        <v>29</v>
      </c>
    </row>
    <row r="10" customFormat="false" ht="15" hidden="false" customHeight="false" outlineLevel="0" collapsed="false">
      <c r="C10" s="10" t="s">
        <v>207</v>
      </c>
      <c r="D10" s="10" t="n">
        <f aca="false">SUM(D4:D9)</f>
        <v>36</v>
      </c>
      <c r="E10" s="10" t="n">
        <f aca="false">SUM(E4:E9)</f>
        <v>112</v>
      </c>
    </row>
    <row r="12" customFormat="false" ht="15" hidden="false" customHeight="false" outlineLevel="0" collapsed="false">
      <c r="A12" s="11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2" t="s">
        <v>224</v>
      </c>
      <c r="B1" s="13"/>
    </row>
    <row r="2" customFormat="false" ht="15" hidden="false" customHeight="false" outlineLevel="0" collapsed="false">
      <c r="A2" s="14" t="s">
        <v>225</v>
      </c>
      <c r="B2" s="13" t="s">
        <v>226</v>
      </c>
    </row>
    <row r="3" customFormat="false" ht="15" hidden="false" customHeight="false" outlineLevel="0" collapsed="false">
      <c r="A3" s="14" t="s">
        <v>227</v>
      </c>
      <c r="B3" s="13" t="s">
        <v>228</v>
      </c>
    </row>
    <row r="4" customFormat="false" ht="15" hidden="false" customHeight="false" outlineLevel="0" collapsed="false">
      <c r="A4" s="14" t="s">
        <v>7</v>
      </c>
      <c r="B4" s="13" t="s">
        <v>229</v>
      </c>
    </row>
    <row r="5" customFormat="false" ht="15" hidden="false" customHeight="false" outlineLevel="0" collapsed="false">
      <c r="A5" s="14" t="s">
        <v>2</v>
      </c>
      <c r="B5" s="13" t="s">
        <v>230</v>
      </c>
    </row>
    <row r="6" customFormat="false" ht="15" hidden="false" customHeight="false" outlineLevel="0" collapsed="false">
      <c r="A6" s="14" t="s">
        <v>8</v>
      </c>
      <c r="B6" s="13" t="s">
        <v>231</v>
      </c>
    </row>
    <row r="7" customFormat="false" ht="15" hidden="false" customHeight="false" outlineLevel="0" collapsed="false">
      <c r="A7" s="14" t="s">
        <v>9</v>
      </c>
      <c r="B7" s="13" t="s">
        <v>232</v>
      </c>
    </row>
    <row r="8" customFormat="false" ht="23.85" hidden="false" customHeight="false" outlineLevel="0" collapsed="false">
      <c r="A8" s="14" t="s">
        <v>10</v>
      </c>
      <c r="B8" s="13" t="s">
        <v>233</v>
      </c>
    </row>
    <row r="9" customFormat="false" ht="15" hidden="false" customHeight="false" outlineLevel="0" collapsed="false">
      <c r="A9" s="14" t="s">
        <v>11</v>
      </c>
      <c r="B9" s="13" t="s">
        <v>234</v>
      </c>
    </row>
    <row r="10" customFormat="false" ht="23.85" hidden="false" customHeight="false" outlineLevel="0" collapsed="false">
      <c r="A10" s="14" t="s">
        <v>235</v>
      </c>
      <c r="B10" s="13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2026-10-06T02:12:52Z</dcterms:created>
  <dc:creator>openpyxl</dc:creator>
  <dc:description/>
  <dc:language>en-US</dc:language>
  <cp:lastModifiedBy/>
  <dcterms:modified xsi:type="dcterms:W3CDTF">2026-10-06T02:12:52Z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